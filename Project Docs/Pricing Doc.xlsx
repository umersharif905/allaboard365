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48f40308144470/Documents/PalmValleyTech/Open-Enroll Joint Effort/Project Docs/"/>
    </mc:Choice>
  </mc:AlternateContent>
  <xr:revisionPtr revIDLastSave="0" documentId="8_{66B93DF1-50FA-4F65-9F2D-07FF318E530E}" xr6:coauthVersionLast="47" xr6:coauthVersionMax="47" xr10:uidLastSave="{00000000-0000-0000-0000-000000000000}"/>
  <bookViews>
    <workbookView xWindow="3435" yWindow="4110" windowWidth="37365" windowHeight="15300" xr2:uid="{1ADF5A46-808B-4808-A8B1-9DA52C3F49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" l="1"/>
  <c r="I8" i="1"/>
  <c r="I9" i="1"/>
  <c r="I10" i="1"/>
  <c r="I11" i="1"/>
  <c r="I12" i="1"/>
  <c r="I5" i="1"/>
  <c r="I14" i="1" l="1"/>
</calcChain>
</file>

<file path=xl/sharedStrings.xml><?xml version="1.0" encoding="utf-8"?>
<sst xmlns="http://schemas.openxmlformats.org/spreadsheetml/2006/main" count="60" uniqueCount="42">
  <si>
    <t>PVT</t>
  </si>
  <si>
    <t>MPB</t>
  </si>
  <si>
    <t>PHP</t>
  </si>
  <si>
    <t>Calstar</t>
  </si>
  <si>
    <t>Big Stuff</t>
  </si>
  <si>
    <t>Global Benefits</t>
  </si>
  <si>
    <t>ARM</t>
  </si>
  <si>
    <t>MightyWELL</t>
  </si>
  <si>
    <t>head count</t>
  </si>
  <si>
    <t>price per</t>
  </si>
  <si>
    <t>ID Cards</t>
  </si>
  <si>
    <t>Plan Details</t>
  </si>
  <si>
    <t>Scheduling</t>
  </si>
  <si>
    <t>Mobile APP</t>
  </si>
  <si>
    <t>Open-Enroll.com</t>
  </si>
  <si>
    <t>AI</t>
  </si>
  <si>
    <t>Submit Share Request</t>
  </si>
  <si>
    <t>See the Status of my request</t>
  </si>
  <si>
    <t>Submit Support Ticket</t>
  </si>
  <si>
    <t>Product Market Place</t>
  </si>
  <si>
    <t>Manage Comp</t>
  </si>
  <si>
    <t>Subscribe to Product</t>
  </si>
  <si>
    <t>Agency Portal (Admin)</t>
  </si>
  <si>
    <t>Agent Portal (Sales)</t>
  </si>
  <si>
    <t>Enrollment Links</t>
  </si>
  <si>
    <t>Group Admin</t>
  </si>
  <si>
    <t>August 1-15</t>
  </si>
  <si>
    <t xml:space="preserve">Terminate Plan </t>
  </si>
  <si>
    <t>Enroll into a new Plan</t>
  </si>
  <si>
    <t>Update Profile</t>
  </si>
  <si>
    <t>E123</t>
  </si>
  <si>
    <t>PVT SQL</t>
  </si>
  <si>
    <t>Custom Dev</t>
  </si>
  <si>
    <t>P1</t>
  </si>
  <si>
    <t>Clients Self Service</t>
  </si>
  <si>
    <t>Plan management</t>
  </si>
  <si>
    <t>Profile management</t>
  </si>
  <si>
    <t>P2</t>
  </si>
  <si>
    <t>Payment manager</t>
  </si>
  <si>
    <t>Self Managed</t>
  </si>
  <si>
    <t>Mobile price</t>
  </si>
  <si>
    <t>CTPA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</si>
</sst>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" x14ac:knownFonts="1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9" fontId="0" fillId="0" borderId="0" xfId="0" applyNumberFormat="1"/>
    <xf numFmtId="0" fontId="0" fillId="2" borderId="0" xfId="0" applyFill="1" applyAlignment="1">
      <alignment horizontal="center" vertical="center"/>
    </xf>
    <xf numFmtId="6" fontId="0" fillId="0" borderId="0" xfId="0" applyNumberFormat="1"/>
    <xf numFmtId="0" fontId="0" fillId="3" borderId="1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ont="1"/>
    <xf numFmtId="0" fontId="0" fillId="0" borderId="0" xfId="0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ill="1"/>
    <xf numFmtId="0" fontId="0" fillId="0" borderId="0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720D1-94CA-478E-9837-4F8EF78E0F0C}">
  <dimension ref="C1:R27"/>
  <sheetViews>
    <sheetView tabSelected="1" zoomScale="130" zoomScaleNormal="130" workbookViewId="0">
      <selection activeCell="I14" sqref="I14"/>
    </sheetView>
  </sheetViews>
  <sheetFormatPr defaultRowHeight="15" x14ac:dyDescent="0.25"/>
  <cols>
    <col min="2" max="2" width="9.85546875" customWidth="1"/>
    <col min="3" max="3" width="5.5703125" customWidth="1"/>
    <col min="4" max="4" width="9.28515625" customWidth="1"/>
    <col min="5" max="5" width="22.28515625" style="1" customWidth="1"/>
    <col min="6" max="6" width="14.28515625" customWidth="1"/>
    <col min="7" max="7" width="13.5703125" customWidth="1"/>
    <col min="8" max="8" width="15.85546875" customWidth="1"/>
    <col min="12" max="13" width="26.85546875" customWidth="1"/>
    <col min="14" max="14" width="16" customWidth="1"/>
    <col min="15" max="16" width="20.140625" customWidth="1"/>
    <col min="17" max="17" width="18.28515625" customWidth="1"/>
    <col min="18" max="18" width="13.140625" customWidth="1"/>
  </cols>
  <sheetData>
    <row r="1" spans="3:18" x14ac:dyDescent="0.25">
      <c r="M1" s="12"/>
    </row>
    <row r="2" spans="3:18" x14ac:dyDescent="0.25">
      <c r="G2" t="s">
        <v>32</v>
      </c>
      <c r="I2" s="6">
        <v>125</v>
      </c>
      <c r="L2" s="5" t="s">
        <v>31</v>
      </c>
      <c r="M2" s="10"/>
    </row>
    <row r="3" spans="3:18" x14ac:dyDescent="0.25">
      <c r="C3" t="s">
        <v>0</v>
      </c>
      <c r="F3" s="2"/>
      <c r="G3" s="2"/>
      <c r="H3" s="2"/>
      <c r="I3" s="2"/>
      <c r="J3" s="2"/>
      <c r="K3" s="2"/>
      <c r="M3" s="12"/>
      <c r="N3" s="2"/>
      <c r="O3" s="2"/>
      <c r="P3" s="2"/>
      <c r="R3" s="9" t="s">
        <v>26</v>
      </c>
    </row>
    <row r="4" spans="3:18" x14ac:dyDescent="0.25">
      <c r="F4" s="2" t="s">
        <v>8</v>
      </c>
      <c r="G4" s="2" t="s">
        <v>40</v>
      </c>
      <c r="H4" s="2" t="s">
        <v>14</v>
      </c>
      <c r="I4" s="2"/>
      <c r="J4" s="2"/>
      <c r="K4" s="2"/>
      <c r="L4" s="8" t="s">
        <v>13</v>
      </c>
      <c r="M4" s="8"/>
      <c r="N4" s="2"/>
      <c r="O4" s="3" t="s">
        <v>14</v>
      </c>
      <c r="P4" s="11" t="s">
        <v>9</v>
      </c>
    </row>
    <row r="5" spans="3:18" x14ac:dyDescent="0.25">
      <c r="D5">
        <v>1552</v>
      </c>
      <c r="E5" s="1" t="s">
        <v>7</v>
      </c>
      <c r="F5" s="2">
        <v>2000</v>
      </c>
      <c r="G5" s="2">
        <v>2.5</v>
      </c>
      <c r="H5" s="2">
        <v>3.5</v>
      </c>
      <c r="I5" s="2">
        <f>(F5*G5)+(F5*H5)</f>
        <v>12000</v>
      </c>
      <c r="J5" s="2"/>
      <c r="K5" s="2" t="s">
        <v>33</v>
      </c>
      <c r="L5" s="7" t="s">
        <v>10</v>
      </c>
      <c r="M5" s="13"/>
      <c r="N5" s="2" t="s">
        <v>33</v>
      </c>
      <c r="O5" s="5" t="s">
        <v>19</v>
      </c>
      <c r="P5" s="10"/>
      <c r="Q5" s="4">
        <v>0.75</v>
      </c>
    </row>
    <row r="6" spans="3:18" x14ac:dyDescent="0.25">
      <c r="E6" s="1" t="s">
        <v>1</v>
      </c>
      <c r="F6" s="2">
        <v>2500</v>
      </c>
      <c r="G6" s="2">
        <v>3.25</v>
      </c>
      <c r="H6" s="2">
        <v>3.5</v>
      </c>
      <c r="I6" s="2">
        <f t="shared" ref="I6:I12" si="0">(F6*G6)+(F6*H6)</f>
        <v>16875</v>
      </c>
      <c r="J6" s="2"/>
      <c r="K6" s="2" t="s">
        <v>33</v>
      </c>
      <c r="L6" s="7" t="s">
        <v>11</v>
      </c>
      <c r="M6" s="13"/>
      <c r="N6" s="2" t="s">
        <v>33</v>
      </c>
      <c r="O6" s="2" t="s">
        <v>20</v>
      </c>
      <c r="P6" s="10"/>
      <c r="Q6" s="4">
        <v>1</v>
      </c>
    </row>
    <row r="7" spans="3:18" x14ac:dyDescent="0.25">
      <c r="E7" s="1" t="s">
        <v>2</v>
      </c>
      <c r="F7" s="2">
        <v>17000</v>
      </c>
      <c r="G7" s="2">
        <v>0</v>
      </c>
      <c r="H7" s="2"/>
      <c r="I7" s="2">
        <v>5000</v>
      </c>
      <c r="J7" s="2"/>
      <c r="K7" s="2" t="s">
        <v>33</v>
      </c>
      <c r="L7" s="7" t="s">
        <v>12</v>
      </c>
      <c r="M7" s="13"/>
      <c r="N7" s="2" t="s">
        <v>33</v>
      </c>
      <c r="O7" s="2" t="s">
        <v>21</v>
      </c>
      <c r="P7" s="10"/>
      <c r="Q7" s="4">
        <v>1</v>
      </c>
    </row>
    <row r="8" spans="3:18" x14ac:dyDescent="0.25">
      <c r="E8" s="1" t="s">
        <v>3</v>
      </c>
      <c r="F8" s="2">
        <v>1000</v>
      </c>
      <c r="G8" s="2"/>
      <c r="H8" s="2">
        <v>3.5</v>
      </c>
      <c r="I8" s="2">
        <f t="shared" si="0"/>
        <v>3500</v>
      </c>
      <c r="J8" s="2"/>
      <c r="K8" s="2" t="s">
        <v>33</v>
      </c>
      <c r="L8" s="7" t="s">
        <v>15</v>
      </c>
      <c r="M8" s="13"/>
      <c r="N8" s="2" t="s">
        <v>33</v>
      </c>
      <c r="O8" s="2" t="s">
        <v>22</v>
      </c>
      <c r="P8" s="10"/>
      <c r="Q8" s="4">
        <v>1</v>
      </c>
    </row>
    <row r="9" spans="3:18" x14ac:dyDescent="0.25">
      <c r="E9" s="1" t="s">
        <v>4</v>
      </c>
      <c r="F9" s="2">
        <v>400</v>
      </c>
      <c r="G9" s="2">
        <v>3.5</v>
      </c>
      <c r="H9" s="2"/>
      <c r="I9" s="2">
        <f t="shared" si="0"/>
        <v>1400</v>
      </c>
      <c r="J9" s="2"/>
      <c r="K9" s="2" t="s">
        <v>33</v>
      </c>
      <c r="L9" s="7" t="s">
        <v>16</v>
      </c>
      <c r="M9" s="13"/>
      <c r="N9" s="2" t="s">
        <v>33</v>
      </c>
      <c r="O9" s="2" t="s">
        <v>23</v>
      </c>
      <c r="P9" s="10"/>
      <c r="Q9" s="4">
        <v>1</v>
      </c>
    </row>
    <row r="10" spans="3:18" x14ac:dyDescent="0.25">
      <c r="E10" s="1" t="s">
        <v>5</v>
      </c>
      <c r="F10" s="2">
        <v>0</v>
      </c>
      <c r="G10" s="2"/>
      <c r="H10" s="2"/>
      <c r="I10" s="2">
        <f t="shared" si="0"/>
        <v>0</v>
      </c>
      <c r="J10" s="2"/>
      <c r="K10" s="2" t="s">
        <v>33</v>
      </c>
      <c r="L10" s="7" t="s">
        <v>17</v>
      </c>
      <c r="M10" s="13"/>
      <c r="N10" s="2" t="s">
        <v>33</v>
      </c>
      <c r="O10" s="2" t="s">
        <v>24</v>
      </c>
      <c r="P10" s="10"/>
      <c r="Q10" s="4">
        <v>1</v>
      </c>
    </row>
    <row r="11" spans="3:18" x14ac:dyDescent="0.25">
      <c r="E11" s="1" t="s">
        <v>6</v>
      </c>
      <c r="F11" s="2">
        <v>1000</v>
      </c>
      <c r="G11" s="2">
        <v>3.5</v>
      </c>
      <c r="H11" s="2"/>
      <c r="I11" s="2">
        <f t="shared" si="0"/>
        <v>3500</v>
      </c>
      <c r="J11" s="2"/>
      <c r="K11" s="2" t="s">
        <v>33</v>
      </c>
      <c r="L11" s="7" t="s">
        <v>18</v>
      </c>
      <c r="M11" s="13"/>
      <c r="N11" s="2" t="s">
        <v>33</v>
      </c>
      <c r="O11" s="2" t="s">
        <v>25</v>
      </c>
      <c r="P11" s="10"/>
      <c r="Q11" s="4">
        <v>1</v>
      </c>
    </row>
    <row r="12" spans="3:18" x14ac:dyDescent="0.25">
      <c r="E12" s="1" t="s">
        <v>41</v>
      </c>
      <c r="F12" s="2">
        <v>50000</v>
      </c>
      <c r="G12" s="2">
        <v>1.5</v>
      </c>
      <c r="H12" s="2"/>
      <c r="I12" s="2">
        <f t="shared" si="0"/>
        <v>75000</v>
      </c>
      <c r="J12" s="2"/>
      <c r="K12" s="2" t="s">
        <v>37</v>
      </c>
      <c r="L12" s="14" t="s">
        <v>34</v>
      </c>
      <c r="M12" s="10"/>
      <c r="N12" s="2" t="s">
        <v>33</v>
      </c>
      <c r="O12" s="2" t="s">
        <v>39</v>
      </c>
      <c r="P12" s="2"/>
    </row>
    <row r="13" spans="3:18" x14ac:dyDescent="0.25">
      <c r="F13" s="2"/>
      <c r="G13" s="2"/>
      <c r="H13" s="2"/>
      <c r="I13" s="2"/>
      <c r="J13" s="2"/>
      <c r="K13" s="2" t="s">
        <v>37</v>
      </c>
      <c r="L13" s="14" t="s">
        <v>35</v>
      </c>
      <c r="M13" s="10"/>
      <c r="N13" s="2"/>
      <c r="O13" s="2"/>
      <c r="P13" s="2"/>
    </row>
    <row r="14" spans="3:18" x14ac:dyDescent="0.25">
      <c r="D14" t="s">
        <v>30</v>
      </c>
      <c r="F14" s="2"/>
      <c r="G14" s="2"/>
      <c r="H14" s="2"/>
      <c r="I14" s="2">
        <f>SUM(I5:I12)</f>
        <v>117275</v>
      </c>
      <c r="K14" s="2" t="s">
        <v>37</v>
      </c>
      <c r="L14" s="14" t="s">
        <v>36</v>
      </c>
      <c r="M14" s="10"/>
      <c r="N14" s="2"/>
      <c r="O14" s="2"/>
      <c r="P14" s="2"/>
    </row>
    <row r="15" spans="3:18" x14ac:dyDescent="0.25">
      <c r="E15" s="1" t="s">
        <v>27</v>
      </c>
      <c r="F15" s="2"/>
      <c r="G15" s="2"/>
      <c r="H15" s="2"/>
      <c r="I15" s="2"/>
      <c r="J15" s="2"/>
      <c r="K15" s="2" t="s">
        <v>37</v>
      </c>
      <c r="L15" s="14" t="s">
        <v>38</v>
      </c>
      <c r="M15" s="2"/>
      <c r="N15" s="2"/>
      <c r="O15" s="2"/>
      <c r="P15" s="2"/>
    </row>
    <row r="16" spans="3:18" x14ac:dyDescent="0.25">
      <c r="E16" s="1" t="s">
        <v>28</v>
      </c>
      <c r="F16" s="2"/>
      <c r="G16" s="2"/>
      <c r="H16" s="2"/>
      <c r="I16" s="2"/>
      <c r="J16" s="2"/>
      <c r="K16" s="2"/>
      <c r="L16" s="15"/>
      <c r="M16" s="2"/>
      <c r="N16" s="2"/>
      <c r="O16" s="2"/>
      <c r="P16" s="2"/>
    </row>
    <row r="17" spans="5:16" x14ac:dyDescent="0.25">
      <c r="E17" s="1" t="s">
        <v>29</v>
      </c>
      <c r="F17" s="2"/>
      <c r="G17" s="2"/>
      <c r="H17" s="2"/>
      <c r="I17" s="2"/>
      <c r="J17" s="2"/>
      <c r="K17" s="2"/>
      <c r="L17" s="15"/>
      <c r="M17" s="2"/>
      <c r="N17" s="2"/>
      <c r="O17" s="2"/>
      <c r="P17" s="2"/>
    </row>
    <row r="18" spans="5:16" x14ac:dyDescent="0.25">
      <c r="F18" s="2"/>
      <c r="G18" s="2"/>
      <c r="H18" s="2"/>
      <c r="I18" s="2"/>
      <c r="J18" s="2"/>
      <c r="K18" s="2"/>
      <c r="L18" s="15"/>
      <c r="M18" s="2"/>
      <c r="N18" s="2"/>
      <c r="O18" s="2"/>
      <c r="P18" s="2"/>
    </row>
    <row r="19" spans="5:16" x14ac:dyDescent="0.25">
      <c r="F19" s="2"/>
      <c r="G19" s="2"/>
      <c r="H19" s="2"/>
      <c r="I19" s="2"/>
      <c r="J19" s="2"/>
      <c r="K19" s="2"/>
      <c r="L19" s="15"/>
      <c r="M19" s="2"/>
      <c r="N19" s="2"/>
      <c r="O19" s="2"/>
      <c r="P19" s="2"/>
    </row>
    <row r="20" spans="5:16" x14ac:dyDescent="0.25"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5:16" x14ac:dyDescent="0.25"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5:16" x14ac:dyDescent="0.25"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5:16" x14ac:dyDescent="0.25"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5:16" x14ac:dyDescent="0.25"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5:16" x14ac:dyDescent="0.25"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5:16" x14ac:dyDescent="0.25"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5:16" x14ac:dyDescent="0.25"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Anderson</dc:creator>
  <cp:lastModifiedBy>Chris Anderson</cp:lastModifiedBy>
  <dcterms:created xsi:type="dcterms:W3CDTF">2025-05-18T22:36:40Z</dcterms:created>
  <dcterms:modified xsi:type="dcterms:W3CDTF">2025-05-22T02:03:29Z</dcterms:modified>
</cp:coreProperties>
</file>